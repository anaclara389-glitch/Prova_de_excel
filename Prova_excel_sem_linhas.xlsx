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_cr_abreu\Documents\"/>
    </mc:Choice>
  </mc:AlternateContent>
  <bookViews>
    <workbookView xWindow="0" yWindow="0" windowWidth="28800" windowHeight="1287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1" l="1"/>
  <c r="D40" i="1"/>
  <c r="C39" i="1"/>
  <c r="C38" i="1"/>
  <c r="G44" i="1"/>
  <c r="G43" i="1"/>
  <c r="G42" i="1"/>
  <c r="G41" i="1"/>
  <c r="G40" i="1"/>
  <c r="D39" i="1"/>
  <c r="D41" i="1"/>
  <c r="D42" i="1"/>
  <c r="D38" i="1"/>
  <c r="C42" i="1"/>
  <c r="C41" i="1"/>
  <c r="C40" i="1"/>
  <c r="B42" i="1"/>
  <c r="B39" i="1"/>
  <c r="B41" i="1"/>
  <c r="B38" i="1"/>
  <c r="D29" i="1"/>
  <c r="D30" i="1"/>
  <c r="D31" i="1"/>
  <c r="D32" i="1"/>
  <c r="C32" i="1"/>
  <c r="C31" i="1"/>
  <c r="C29" i="1"/>
  <c r="D28" i="1"/>
  <c r="C30" i="1"/>
  <c r="C28" i="1"/>
  <c r="B32" i="1"/>
  <c r="B31" i="1"/>
  <c r="B29" i="1"/>
  <c r="B30" i="1"/>
  <c r="B28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7" i="1"/>
</calcChain>
</file>

<file path=xl/sharedStrings.xml><?xml version="1.0" encoding="utf-8"?>
<sst xmlns="http://schemas.openxmlformats.org/spreadsheetml/2006/main" count="84" uniqueCount="23">
  <si>
    <t>Avaliação Prática</t>
  </si>
  <si>
    <t>Produto</t>
  </si>
  <si>
    <t>Categoria</t>
  </si>
  <si>
    <t>Valor Unitário</t>
  </si>
  <si>
    <t>Quantidade</t>
  </si>
  <si>
    <t>Valor Total</t>
  </si>
  <si>
    <t>Data</t>
  </si>
  <si>
    <t>Tipo</t>
  </si>
  <si>
    <t>Parafuso Aço</t>
  </si>
  <si>
    <t>Porca Sextavada</t>
  </si>
  <si>
    <t>Chapa Metálica</t>
  </si>
  <si>
    <t>Tinta Industrial</t>
  </si>
  <si>
    <t>Lubrificante</t>
  </si>
  <si>
    <t>Fixação</t>
  </si>
  <si>
    <t>Matéria-prima</t>
  </si>
  <si>
    <t>Acabamento</t>
  </si>
  <si>
    <t>Manutenção</t>
  </si>
  <si>
    <t>Saída</t>
  </si>
  <si>
    <t>Entrada</t>
  </si>
  <si>
    <t>Saldo do Estoque</t>
  </si>
  <si>
    <t>Valor</t>
  </si>
  <si>
    <t>Qual o produto com o maior número de Saídas?</t>
  </si>
  <si>
    <t>Classificado por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</si>
</sst>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0" fontId="2" fillId="0" borderId="0" xfId="0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NumberFormat="1" applyBorder="1"/>
    <xf numFmtId="0" fontId="0" fillId="0" borderId="0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Planilha1!$D$27</c:f>
              <c:strCache>
                <c:ptCount val="1"/>
                <c:pt idx="0">
                  <c:v>Saldo do Estoque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Planilha1!$A$28:$A$32</c:f>
              <c:strCache>
                <c:ptCount val="5"/>
                <c:pt idx="0">
                  <c:v>Parafuso Aço</c:v>
                </c:pt>
                <c:pt idx="1">
                  <c:v>Porca Sextavada</c:v>
                </c:pt>
                <c:pt idx="2">
                  <c:v>Chapa Metálica</c:v>
                </c:pt>
                <c:pt idx="3">
                  <c:v>Tinta Industrial</c:v>
                </c:pt>
                <c:pt idx="4">
                  <c:v>Lubrificante</c:v>
                </c:pt>
              </c:strCache>
            </c:strRef>
          </c:cat>
          <c:val>
            <c:numRef>
              <c:f>Planilha1!$D$28:$D$32</c:f>
              <c:numCache>
                <c:formatCode>General</c:formatCode>
                <c:ptCount val="5"/>
                <c:pt idx="0">
                  <c:v>130</c:v>
                </c:pt>
                <c:pt idx="1">
                  <c:v>210</c:v>
                </c:pt>
                <c:pt idx="2">
                  <c:v>70</c:v>
                </c:pt>
                <c:pt idx="3">
                  <c:v>18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1-492F-AE37-326059176B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2488000"/>
        <c:axId val="1462489248"/>
      </c:barChart>
      <c:catAx>
        <c:axId val="146248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2489248"/>
        <c:crosses val="autoZero"/>
        <c:auto val="1"/>
        <c:lblAlgn val="ctr"/>
        <c:lblOffset val="100"/>
        <c:noMultiLvlLbl val="0"/>
      </c:catAx>
      <c:valAx>
        <c:axId val="14624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248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133350</xdr:rowOff>
    </xdr:from>
    <xdr:to>
      <xdr:col>2</xdr:col>
      <xdr:colOff>122442</xdr:colOff>
      <xdr:row>3</xdr:row>
      <xdr:rowOff>104775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33350"/>
          <a:ext cx="1970292" cy="542925"/>
        </a:xfrm>
        <a:prstGeom prst="rect">
          <a:avLst/>
        </a:prstGeom>
      </xdr:spPr>
    </xdr:pic>
    <xdr:clientData/>
  </xdr:twoCellAnchor>
  <xdr:twoCellAnchor>
    <xdr:from>
      <xdr:col>4</xdr:col>
      <xdr:colOff>552450</xdr:colOff>
      <xdr:row>25</xdr:row>
      <xdr:rowOff>0</xdr:rowOff>
    </xdr:from>
    <xdr:to>
      <xdr:col>10</xdr:col>
      <xdr:colOff>571500</xdr:colOff>
      <xdr:row>37</xdr:row>
      <xdr:rowOff>76200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6"/>
  <sheetViews>
    <sheetView showGridLines="0" tabSelected="1" workbookViewId="0">
      <selection activeCell="D45" sqref="D45"/>
    </sheetView>
  </sheetViews>
  <sheetFormatPr defaultRowHeight="15" x14ac:dyDescent="0.25"/>
  <cols>
    <col min="1" max="1" width="17.85546875" customWidth="1"/>
    <col min="2" max="2" width="13.5703125" customWidth="1"/>
    <col min="3" max="3" width="13.7109375" customWidth="1"/>
    <col min="4" max="4" width="13.28515625" customWidth="1"/>
    <col min="5" max="5" width="14.7109375" customWidth="1"/>
    <col min="6" max="6" width="15.85546875" customWidth="1"/>
    <col min="7" max="7" width="13.7109375" customWidth="1"/>
  </cols>
  <sheetData>
    <row r="2" spans="1:11" ht="15" customHeight="1" x14ac:dyDescent="0.5">
      <c r="E2" s="2" t="s">
        <v>0</v>
      </c>
      <c r="F2" s="2"/>
      <c r="G2" s="2"/>
      <c r="H2" s="6"/>
      <c r="I2" s="1"/>
      <c r="J2" s="1"/>
      <c r="K2" s="1"/>
    </row>
    <row r="3" spans="1:11" ht="15" customHeight="1" x14ac:dyDescent="0.25">
      <c r="E3" s="2"/>
      <c r="F3" s="2"/>
      <c r="G3" s="2"/>
      <c r="H3" s="1"/>
      <c r="I3" s="1"/>
      <c r="J3" s="1"/>
      <c r="K3" s="1"/>
    </row>
    <row r="5" spans="1:11" x14ac:dyDescent="0.25">
      <c r="E5" s="16"/>
      <c r="F5" s="16" t="s">
        <v>22</v>
      </c>
      <c r="G5" s="16"/>
    </row>
    <row r="6" spans="1:11" x14ac:dyDescent="0.25">
      <c r="A6" s="3" t="s">
        <v>1</v>
      </c>
      <c r="B6" s="3" t="s">
        <v>2</v>
      </c>
      <c r="C6" s="3" t="s">
        <v>4</v>
      </c>
      <c r="D6" s="3" t="s">
        <v>3</v>
      </c>
      <c r="E6" s="3" t="s">
        <v>5</v>
      </c>
      <c r="F6" s="3" t="s">
        <v>6</v>
      </c>
      <c r="G6" s="3" t="s">
        <v>7</v>
      </c>
    </row>
    <row r="7" spans="1:11" x14ac:dyDescent="0.25">
      <c r="A7" s="4" t="s">
        <v>8</v>
      </c>
      <c r="B7" s="4" t="s">
        <v>13</v>
      </c>
      <c r="C7" s="4">
        <v>-120</v>
      </c>
      <c r="D7" s="5">
        <v>0.5</v>
      </c>
      <c r="E7" s="5">
        <f>PRODUCT(C7,D7)</f>
        <v>-60</v>
      </c>
      <c r="F7" s="7">
        <v>46083</v>
      </c>
      <c r="G7" s="8" t="s">
        <v>17</v>
      </c>
    </row>
    <row r="8" spans="1:11" x14ac:dyDescent="0.25">
      <c r="A8" s="4" t="s">
        <v>9</v>
      </c>
      <c r="B8" s="4" t="s">
        <v>13</v>
      </c>
      <c r="C8" s="4">
        <v>-200</v>
      </c>
      <c r="D8" s="5">
        <v>0.3</v>
      </c>
      <c r="E8" s="5">
        <f t="shared" ref="E8:E22" si="0">PRODUCT(C8,D8)</f>
        <v>-60</v>
      </c>
      <c r="F8" s="7">
        <v>46083</v>
      </c>
      <c r="G8" s="8" t="s">
        <v>17</v>
      </c>
    </row>
    <row r="9" spans="1:11" x14ac:dyDescent="0.25">
      <c r="A9" s="4" t="s">
        <v>10</v>
      </c>
      <c r="B9" s="4" t="s">
        <v>14</v>
      </c>
      <c r="C9" s="4">
        <v>50</v>
      </c>
      <c r="D9" s="5">
        <v>25</v>
      </c>
      <c r="E9" s="5">
        <f t="shared" si="0"/>
        <v>1250</v>
      </c>
      <c r="F9" s="7">
        <v>46084</v>
      </c>
      <c r="G9" s="8" t="s">
        <v>18</v>
      </c>
    </row>
    <row r="10" spans="1:11" x14ac:dyDescent="0.25">
      <c r="A10" s="4" t="s">
        <v>11</v>
      </c>
      <c r="B10" s="4" t="s">
        <v>15</v>
      </c>
      <c r="C10" s="4">
        <v>-30</v>
      </c>
      <c r="D10" s="5">
        <v>80</v>
      </c>
      <c r="E10" s="5">
        <f t="shared" si="0"/>
        <v>-2400</v>
      </c>
      <c r="F10" s="7">
        <v>46084</v>
      </c>
      <c r="G10" s="8" t="s">
        <v>17</v>
      </c>
    </row>
    <row r="11" spans="1:11" x14ac:dyDescent="0.25">
      <c r="A11" s="4" t="s">
        <v>8</v>
      </c>
      <c r="B11" s="4" t="s">
        <v>13</v>
      </c>
      <c r="C11" s="4">
        <v>350</v>
      </c>
      <c r="D11" s="5">
        <v>0.5</v>
      </c>
      <c r="E11" s="5">
        <f t="shared" si="0"/>
        <v>175</v>
      </c>
      <c r="F11" s="7">
        <v>46085</v>
      </c>
      <c r="G11" s="8" t="s">
        <v>18</v>
      </c>
    </row>
    <row r="12" spans="1:11" x14ac:dyDescent="0.25">
      <c r="A12" s="4" t="s">
        <v>9</v>
      </c>
      <c r="B12" s="4" t="s">
        <v>13</v>
      </c>
      <c r="C12" s="4">
        <v>-30</v>
      </c>
      <c r="D12" s="5">
        <v>0.3</v>
      </c>
      <c r="E12" s="5">
        <f t="shared" si="0"/>
        <v>-9</v>
      </c>
      <c r="F12" s="7">
        <v>46085</v>
      </c>
      <c r="G12" s="8" t="s">
        <v>17</v>
      </c>
    </row>
    <row r="13" spans="1:11" x14ac:dyDescent="0.25">
      <c r="A13" s="4" t="s">
        <v>12</v>
      </c>
      <c r="B13" s="4" t="s">
        <v>16</v>
      </c>
      <c r="C13" s="4">
        <v>-20</v>
      </c>
      <c r="D13" s="5">
        <v>45</v>
      </c>
      <c r="E13" s="5">
        <f t="shared" si="0"/>
        <v>-900</v>
      </c>
      <c r="F13" s="7">
        <v>46085</v>
      </c>
      <c r="G13" s="8" t="s">
        <v>17</v>
      </c>
    </row>
    <row r="14" spans="1:11" x14ac:dyDescent="0.25">
      <c r="A14" s="4" t="s">
        <v>11</v>
      </c>
      <c r="B14" s="4" t="s">
        <v>15</v>
      </c>
      <c r="C14" s="4">
        <v>68</v>
      </c>
      <c r="D14" s="5">
        <v>80</v>
      </c>
      <c r="E14" s="5">
        <f t="shared" si="0"/>
        <v>5440</v>
      </c>
      <c r="F14" s="7">
        <v>46086</v>
      </c>
      <c r="G14" s="8" t="s">
        <v>18</v>
      </c>
    </row>
    <row r="15" spans="1:11" x14ac:dyDescent="0.25">
      <c r="A15" s="4" t="s">
        <v>10</v>
      </c>
      <c r="B15" s="4" t="s">
        <v>14</v>
      </c>
      <c r="C15" s="4">
        <v>-40</v>
      </c>
      <c r="D15" s="5">
        <v>25</v>
      </c>
      <c r="E15" s="5">
        <f t="shared" si="0"/>
        <v>-1000</v>
      </c>
      <c r="F15" s="7">
        <v>46086</v>
      </c>
      <c r="G15" s="8" t="s">
        <v>17</v>
      </c>
    </row>
    <row r="16" spans="1:11" x14ac:dyDescent="0.25">
      <c r="A16" s="4" t="s">
        <v>9</v>
      </c>
      <c r="B16" s="4" t="s">
        <v>13</v>
      </c>
      <c r="C16" s="4">
        <v>600</v>
      </c>
      <c r="D16" s="5">
        <v>0.3</v>
      </c>
      <c r="E16" s="5">
        <f t="shared" si="0"/>
        <v>180</v>
      </c>
      <c r="F16" s="7">
        <v>46087</v>
      </c>
      <c r="G16" s="8" t="s">
        <v>18</v>
      </c>
    </row>
    <row r="17" spans="1:7" x14ac:dyDescent="0.25">
      <c r="A17" s="4" t="s">
        <v>12</v>
      </c>
      <c r="B17" s="4" t="s">
        <v>16</v>
      </c>
      <c r="C17" s="4">
        <v>45</v>
      </c>
      <c r="D17" s="5">
        <v>45</v>
      </c>
      <c r="E17" s="5">
        <f t="shared" si="0"/>
        <v>2025</v>
      </c>
      <c r="F17" s="7">
        <v>46087</v>
      </c>
      <c r="G17" s="8" t="s">
        <v>18</v>
      </c>
    </row>
    <row r="18" spans="1:7" x14ac:dyDescent="0.25">
      <c r="A18" s="4" t="s">
        <v>10</v>
      </c>
      <c r="B18" s="4" t="s">
        <v>14</v>
      </c>
      <c r="C18" s="4">
        <v>60</v>
      </c>
      <c r="D18" s="5">
        <v>25</v>
      </c>
      <c r="E18" s="5">
        <f t="shared" si="0"/>
        <v>1500</v>
      </c>
      <c r="F18" s="7">
        <v>46088</v>
      </c>
      <c r="G18" s="8" t="s">
        <v>18</v>
      </c>
    </row>
    <row r="19" spans="1:7" x14ac:dyDescent="0.25">
      <c r="A19" s="4" t="s">
        <v>8</v>
      </c>
      <c r="B19" s="4" t="s">
        <v>13</v>
      </c>
      <c r="C19" s="4">
        <v>-100</v>
      </c>
      <c r="D19" s="5">
        <v>0.5</v>
      </c>
      <c r="E19" s="5">
        <f t="shared" si="0"/>
        <v>-50</v>
      </c>
      <c r="F19" s="7">
        <v>46088</v>
      </c>
      <c r="G19" s="8" t="s">
        <v>17</v>
      </c>
    </row>
    <row r="20" spans="1:7" x14ac:dyDescent="0.25">
      <c r="A20" s="4" t="s">
        <v>11</v>
      </c>
      <c r="B20" s="4" t="s">
        <v>15</v>
      </c>
      <c r="C20" s="4">
        <v>-20</v>
      </c>
      <c r="D20" s="5">
        <v>80</v>
      </c>
      <c r="E20" s="5">
        <f t="shared" si="0"/>
        <v>-1600</v>
      </c>
      <c r="F20" s="7">
        <v>46089</v>
      </c>
      <c r="G20" s="8" t="s">
        <v>17</v>
      </c>
    </row>
    <row r="21" spans="1:7" x14ac:dyDescent="0.25">
      <c r="A21" s="4" t="s">
        <v>9</v>
      </c>
      <c r="B21" s="4" t="s">
        <v>13</v>
      </c>
      <c r="C21" s="4">
        <v>-160</v>
      </c>
      <c r="D21" s="5">
        <v>0.3</v>
      </c>
      <c r="E21" s="5">
        <f t="shared" si="0"/>
        <v>-48</v>
      </c>
      <c r="F21" s="7">
        <v>46089</v>
      </c>
      <c r="G21" s="8" t="s">
        <v>17</v>
      </c>
    </row>
    <row r="22" spans="1:7" x14ac:dyDescent="0.25">
      <c r="A22" s="4" t="s">
        <v>12</v>
      </c>
      <c r="B22" s="4" t="s">
        <v>16</v>
      </c>
      <c r="C22" s="4">
        <v>-10</v>
      </c>
      <c r="D22" s="5">
        <v>45</v>
      </c>
      <c r="E22" s="5">
        <f t="shared" si="0"/>
        <v>-450</v>
      </c>
      <c r="F22" s="7">
        <v>46090</v>
      </c>
      <c r="G22" s="8" t="s">
        <v>17</v>
      </c>
    </row>
    <row r="26" spans="1:7" x14ac:dyDescent="0.25">
      <c r="B26" s="10" t="s">
        <v>4</v>
      </c>
      <c r="C26" s="10"/>
      <c r="D26" s="10"/>
    </row>
    <row r="27" spans="1:7" ht="30" x14ac:dyDescent="0.25">
      <c r="A27" s="12" t="s">
        <v>1</v>
      </c>
      <c r="B27" s="3" t="s">
        <v>17</v>
      </c>
      <c r="C27" s="3" t="s">
        <v>18</v>
      </c>
      <c r="D27" s="11" t="s">
        <v>19</v>
      </c>
    </row>
    <row r="28" spans="1:7" x14ac:dyDescent="0.25">
      <c r="A28" s="4" t="s">
        <v>8</v>
      </c>
      <c r="B28" s="14">
        <f>SUMIFS(C6:C22,G6:G22,G7,A6:A22,A7)</f>
        <v>-220</v>
      </c>
      <c r="C28" s="14">
        <f>SUMIFS(C6:C22,G6:G22,G9,A6:A22,A7)</f>
        <v>350</v>
      </c>
      <c r="D28" s="14">
        <f>SUM(C28,B28)</f>
        <v>130</v>
      </c>
    </row>
    <row r="29" spans="1:7" x14ac:dyDescent="0.25">
      <c r="A29" s="4" t="s">
        <v>9</v>
      </c>
      <c r="B29" s="14">
        <f>SUMIFS(C6:C22,G6:G22,G7,A6:A22,A8)</f>
        <v>-390</v>
      </c>
      <c r="C29" s="14">
        <f>SUMIFS(C7:C23,G7:G23,G11,A7:A23,A8)</f>
        <v>600</v>
      </c>
      <c r="D29" s="14">
        <f t="shared" ref="D29:D32" si="1">SUM(C29,B29)</f>
        <v>210</v>
      </c>
    </row>
    <row r="30" spans="1:7" x14ac:dyDescent="0.25">
      <c r="A30" s="4" t="s">
        <v>10</v>
      </c>
      <c r="B30" s="14">
        <f>SUMIFS(C6:C22,G6:G22,G7,A6:A22,A9)</f>
        <v>-40</v>
      </c>
      <c r="C30" s="14">
        <f>SUMIFS(C7:C23,G7:G23,G11,A7:A23,A9)</f>
        <v>110</v>
      </c>
      <c r="D30" s="14">
        <f t="shared" si="1"/>
        <v>70</v>
      </c>
    </row>
    <row r="31" spans="1:7" x14ac:dyDescent="0.25">
      <c r="A31" s="4" t="s">
        <v>11</v>
      </c>
      <c r="B31" s="14">
        <f>SUMIFS(C6:C22,G6:G22,G7,A6:A22,A10)</f>
        <v>-50</v>
      </c>
      <c r="C31" s="14">
        <f>SUMIFS(C7:C23,G7:G23,G9,A7:A23,A10)</f>
        <v>68</v>
      </c>
      <c r="D31" s="14">
        <f t="shared" si="1"/>
        <v>18</v>
      </c>
    </row>
    <row r="32" spans="1:7" x14ac:dyDescent="0.25">
      <c r="A32" s="9" t="s">
        <v>12</v>
      </c>
      <c r="B32" s="14">
        <f>SUMIFS(C6:C22,G6:G22,G7,A6:A22,A22)</f>
        <v>-30</v>
      </c>
      <c r="C32" s="14">
        <f>SUMIFS(C7:C23,G7:G23,G11,A7:A23,A22)</f>
        <v>45</v>
      </c>
      <c r="D32" s="14">
        <f t="shared" si="1"/>
        <v>15</v>
      </c>
    </row>
    <row r="36" spans="1:7" x14ac:dyDescent="0.25">
      <c r="B36" s="10" t="s">
        <v>20</v>
      </c>
      <c r="C36" s="10"/>
      <c r="D36" s="10"/>
    </row>
    <row r="37" spans="1:7" ht="30" x14ac:dyDescent="0.25">
      <c r="A37" s="12" t="s">
        <v>1</v>
      </c>
      <c r="B37" s="3" t="s">
        <v>17</v>
      </c>
      <c r="C37" s="3" t="s">
        <v>18</v>
      </c>
      <c r="D37" s="11" t="s">
        <v>19</v>
      </c>
    </row>
    <row r="38" spans="1:7" x14ac:dyDescent="0.25">
      <c r="A38" s="4" t="s">
        <v>8</v>
      </c>
      <c r="B38" s="5">
        <f>SUMIFS(E6:E22,G6:G22,G7,A6:A22,A7)</f>
        <v>-110</v>
      </c>
      <c r="C38" s="5">
        <f>SUMIFS(E6:E22,G6:G22,G9,A6:A22,A7)</f>
        <v>175</v>
      </c>
      <c r="D38" s="5">
        <f>SUM(C38,B38)</f>
        <v>65</v>
      </c>
    </row>
    <row r="39" spans="1:7" x14ac:dyDescent="0.25">
      <c r="A39" s="4" t="s">
        <v>9</v>
      </c>
      <c r="B39" s="5">
        <f t="shared" ref="B39:B42" si="2">SUMIFS(E7:E23,G7:G23,G8,A7:A23,A8)</f>
        <v>-117</v>
      </c>
      <c r="C39" s="5">
        <f>SUMIFS(E7:E23,G7:G23,G11,A7:A23,A8)</f>
        <v>180</v>
      </c>
      <c r="D39" s="5">
        <f t="shared" ref="D39:D42" si="3">SUM(C39,B39)</f>
        <v>63</v>
      </c>
    </row>
    <row r="40" spans="1:7" x14ac:dyDescent="0.25">
      <c r="A40" s="4" t="s">
        <v>10</v>
      </c>
      <c r="B40" s="5">
        <f>SUMIFS(E7:E23,G7:G23,G7,A7:A23,A9)</f>
        <v>-1000</v>
      </c>
      <c r="C40" s="5">
        <f t="shared" ref="C39:C42" si="4">SUMIFS(E8:E24,G8:G24,G11,A8:A24,A9)</f>
        <v>2750</v>
      </c>
      <c r="D40" s="5">
        <f t="shared" si="3"/>
        <v>1750</v>
      </c>
      <c r="F40" s="4" t="s">
        <v>8</v>
      </c>
      <c r="G40">
        <f>COUNTIFS(G6:G22,G7,A6:A22,A7)</f>
        <v>2</v>
      </c>
    </row>
    <row r="41" spans="1:7" x14ac:dyDescent="0.25">
      <c r="A41" s="4" t="s">
        <v>11</v>
      </c>
      <c r="B41" s="5">
        <f t="shared" si="2"/>
        <v>-4000</v>
      </c>
      <c r="C41" s="5">
        <f>SUMIFS(E7:E23,G7:G23,G11,A7:A23,A10)</f>
        <v>5440</v>
      </c>
      <c r="D41" s="5">
        <f t="shared" si="3"/>
        <v>1440</v>
      </c>
      <c r="F41" s="4" t="s">
        <v>9</v>
      </c>
      <c r="G41">
        <f>COUNTIFS(G7:G23,G8,A7:A23,A8)</f>
        <v>3</v>
      </c>
    </row>
    <row r="42" spans="1:7" x14ac:dyDescent="0.25">
      <c r="A42" s="9" t="s">
        <v>12</v>
      </c>
      <c r="B42" s="5">
        <f>SUMIFS(E7:E23,G7:G23,G12,A7:A23,A22)</f>
        <v>-1350</v>
      </c>
      <c r="C42" s="5">
        <f>SUMIFS(E7:E23,G7:G23,G14,A7:A23,A13)</f>
        <v>2025</v>
      </c>
      <c r="D42" s="5">
        <f t="shared" si="3"/>
        <v>675</v>
      </c>
      <c r="F42" s="4" t="s">
        <v>10</v>
      </c>
      <c r="G42">
        <f>COUNTIFS(G7:G23,G8,A7:A23,A9)</f>
        <v>1</v>
      </c>
    </row>
    <row r="43" spans="1:7" x14ac:dyDescent="0.25">
      <c r="F43" s="4" t="s">
        <v>11</v>
      </c>
      <c r="G43">
        <f>COUNTIFS(G7:G23,G10,A7:A23,A10)</f>
        <v>2</v>
      </c>
    </row>
    <row r="44" spans="1:7" x14ac:dyDescent="0.25">
      <c r="A44" s="13" t="s">
        <v>21</v>
      </c>
      <c r="B44" s="13"/>
      <c r="C44" s="13"/>
      <c r="D44" s="13"/>
      <c r="F44" s="9" t="s">
        <v>12</v>
      </c>
      <c r="G44">
        <f>COUNTIFS(G7:G23,G10,A7:A23,A22)</f>
        <v>2</v>
      </c>
    </row>
    <row r="45" spans="1:7" x14ac:dyDescent="0.25">
      <c r="A45" s="4" t="s">
        <v>9</v>
      </c>
    </row>
    <row r="46" spans="1:7" x14ac:dyDescent="0.25">
      <c r="A46" s="15"/>
    </row>
  </sheetData>
  <mergeCells count="4">
    <mergeCell ref="E2:G3"/>
    <mergeCell ref="B26:D26"/>
    <mergeCell ref="B36:D36"/>
    <mergeCell ref="A44:D44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39 B4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CLARA RODRIGUES ABREU</dc:creator>
  <cp:lastModifiedBy>ANA CLARA RODRIGUES ABREU</cp:lastModifiedBy>
  <dcterms:created xsi:type="dcterms:W3CDTF">2026-04-24T21:17:51Z</dcterms:created>
  <dcterms:modified xsi:type="dcterms:W3CDTF">2026-04-24T23:39:26Z</dcterms:modified>
</cp:coreProperties>
</file>